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Catalog" sheetId="1" state="visible" r:id="rId1"/>
    <sheet name="Team Capacity" sheetId="2" state="visible" r:id="rId2"/>
    <sheet name="Monthly Allo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pivotButton="0" quotePrefix="0" xfId="0"/>
    <xf numFmtId="0" fontId="5" fillId="0" borderId="1" pivotButton="0" quotePrefix="0" xfId="0"/>
    <xf numFmtId="0" fontId="2" fillId="0" borderId="1" pivotButton="0" quotePrefix="0" xfId="0"/>
    <xf numFmtId="9" fontId="5" fillId="3" borderId="1" pivotButton="0" quotePrefix="0" xfId="0"/>
    <xf numFmtId="3" fontId="4" fillId="0" borderId="1" pivotButton="0" quotePrefix="0" xfId="0"/>
    <xf numFmtId="3" fontId="6" fillId="0" borderId="1" pivotButton="0" quotePrefix="0" xfId="0"/>
    <xf numFmtId="9" fontId="4" fillId="0" borderId="1" pivotButton="0" quotePrefix="0" xfId="0"/>
    <xf numFmtId="0" fontId="2" fillId="0" borderId="0" applyAlignment="1" pivotButton="0" quotePrefix="0" xfId="0">
      <alignment vertical="top" wrapText="1"/>
    </xf>
    <xf numFmtId="164" fontId="4" fillId="0" borderId="1" pivotButton="0" quotePrefix="0" xfId="0"/>
    <xf numFmtId="1" fontId="4" fillId="0" borderId="1" pivotButton="0" quotePrefix="0" xfId="0"/>
    <xf numFmtId="1" fontId="6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Task Catalog — VA build time &amp; delivery turnaround</t>
        </is>
      </c>
    </row>
    <row r="2">
      <c r="A2" s="2" t="inlineStr">
        <is>
          <t>Blue = editable input. Build time drives capacity math (Sheet 3). Delivery time is client-facing turnaround, not labor.</t>
        </is>
      </c>
    </row>
    <row r="4">
      <c r="A4" s="3" t="inlineStr">
        <is>
          <t>Category</t>
        </is>
      </c>
      <c r="B4" s="3" t="inlineStr">
        <is>
          <t>Task</t>
        </is>
      </c>
      <c r="C4" s="3" t="inlineStr">
        <is>
          <t>Build time (min)</t>
        </is>
      </c>
      <c r="D4" s="3" t="inlineStr">
        <is>
          <t>Delivery time</t>
        </is>
      </c>
      <c r="E4" s="3" t="inlineStr">
        <is>
          <t>Default assignee</t>
        </is>
      </c>
      <c r="F4" s="3" t="inlineStr">
        <is>
          <t>Notes</t>
        </is>
      </c>
    </row>
    <row r="5">
      <c r="A5" s="4" t="inlineStr">
        <is>
          <t>Link</t>
        </is>
      </c>
      <c r="B5" s="4" t="inlineStr">
        <is>
          <t>Guest post</t>
        </is>
      </c>
      <c r="C5" s="5" t="n">
        <v>15</v>
      </c>
      <c r="D5" s="6" t="inlineStr">
        <is>
          <t>2 weeks</t>
        </is>
      </c>
      <c r="E5" s="4" t="inlineStr">
        <is>
          <t>Kyle</t>
        </is>
      </c>
      <c r="F5" s="7" t="inlineStr">
        <is>
          <t>outreach/order</t>
        </is>
      </c>
    </row>
    <row r="6">
      <c r="A6" s="4" t="inlineStr">
        <is>
          <t>Link</t>
        </is>
      </c>
      <c r="B6" s="4" t="inlineStr">
        <is>
          <t>Niche edit</t>
        </is>
      </c>
      <c r="C6" s="5" t="n">
        <v>60</v>
      </c>
      <c r="D6" s="6" t="inlineStr">
        <is>
          <t>2 weeks</t>
        </is>
      </c>
      <c r="E6" s="4" t="inlineStr">
        <is>
          <t>Kyle</t>
        </is>
      </c>
      <c r="F6" s="7" t="inlineStr"/>
    </row>
    <row r="7">
      <c r="A7" s="4" t="inlineStr">
        <is>
          <t>Link</t>
        </is>
      </c>
      <c r="B7" s="4" t="inlineStr">
        <is>
          <t>Press release (order)</t>
        </is>
      </c>
      <c r="C7" s="5" t="n">
        <v>15</v>
      </c>
      <c r="D7" s="6" t="inlineStr">
        <is>
          <t>2 weeks</t>
        </is>
      </c>
      <c r="E7" s="4" t="inlineStr">
        <is>
          <t>Kyle</t>
        </is>
      </c>
      <c r="F7" s="7" t="inlineStr"/>
    </row>
    <row r="8">
      <c r="A8" s="4" t="inlineStr">
        <is>
          <t>Link</t>
        </is>
      </c>
      <c r="B8" s="4" t="inlineStr">
        <is>
          <t>Citations (per 40-batch)</t>
        </is>
      </c>
      <c r="C8" s="5" t="n">
        <v>15</v>
      </c>
      <c r="D8" s="6" t="inlineStr">
        <is>
          <t>10 days</t>
        </is>
      </c>
      <c r="E8" s="4" t="inlineStr">
        <is>
          <t>Minda</t>
        </is>
      </c>
      <c r="F8" s="7" t="inlineStr"/>
    </row>
    <row r="9">
      <c r="A9" s="4" t="inlineStr">
        <is>
          <t>Link</t>
        </is>
      </c>
      <c r="B9" s="4" t="inlineStr">
        <is>
          <t>Google stack</t>
        </is>
      </c>
      <c r="C9" s="5" t="n">
        <v>120</v>
      </c>
      <c r="D9" s="6" t="inlineStr">
        <is>
          <t>3 days</t>
        </is>
      </c>
      <c r="E9" s="4" t="inlineStr">
        <is>
          <t>Minda→Ivy</t>
        </is>
      </c>
      <c r="F9" s="7" t="inlineStr"/>
    </row>
    <row r="10">
      <c r="A10" s="4" t="inlineStr">
        <is>
          <t>Link</t>
        </is>
      </c>
      <c r="B10" s="4" t="inlineStr">
        <is>
          <t>G Sites / OffPage Agent</t>
        </is>
      </c>
      <c r="C10" s="5" t="n">
        <v>5</v>
      </c>
      <c r="D10" s="6" t="inlineStr">
        <is>
          <t>5 days</t>
        </is>
      </c>
      <c r="E10" s="4" t="inlineStr">
        <is>
          <t>Minda→Ivy</t>
        </is>
      </c>
      <c r="F10" s="7" t="inlineStr"/>
    </row>
    <row r="11">
      <c r="A11" s="4" t="inlineStr">
        <is>
          <t>Link</t>
        </is>
      </c>
      <c r="B11" s="4" t="inlineStr">
        <is>
          <t>GSA blast</t>
        </is>
      </c>
      <c r="C11" s="5" t="n">
        <v>10</v>
      </c>
      <c r="D11" s="6" t="inlineStr">
        <is>
          <t>3 weeks</t>
        </is>
      </c>
      <c r="E11" s="4" t="inlineStr">
        <is>
          <t>Minda→Ivy</t>
        </is>
      </c>
      <c r="F11" s="7" t="inlineStr"/>
    </row>
    <row r="12">
      <c r="A12" s="4" t="inlineStr">
        <is>
          <t>Link</t>
        </is>
      </c>
      <c r="B12" s="4" t="inlineStr">
        <is>
          <t>Money Robot</t>
        </is>
      </c>
      <c r="C12" s="5" t="n">
        <v>10</v>
      </c>
      <c r="D12" s="6" t="inlineStr">
        <is>
          <t>3 weeks</t>
        </is>
      </c>
      <c r="E12" s="4" t="inlineStr">
        <is>
          <t>Minda→Ivy</t>
        </is>
      </c>
      <c r="F12" s="7" t="inlineStr"/>
    </row>
    <row r="13">
      <c r="A13" s="4" t="inlineStr">
        <is>
          <t>Link</t>
        </is>
      </c>
      <c r="B13" s="4" t="inlineStr">
        <is>
          <t>Xrumer</t>
        </is>
      </c>
      <c r="C13" s="5" t="n">
        <v>10</v>
      </c>
      <c r="D13" s="6" t="inlineStr">
        <is>
          <t>3 weeks</t>
        </is>
      </c>
      <c r="E13" s="4" t="inlineStr">
        <is>
          <t>Minda→Ivy</t>
        </is>
      </c>
      <c r="F13" s="7" t="inlineStr"/>
    </row>
    <row r="14">
      <c r="A14" s="4" t="inlineStr">
        <is>
          <t>Link</t>
        </is>
      </c>
      <c r="B14" s="4" t="inlineStr">
        <is>
          <t>IFTTT ring</t>
        </is>
      </c>
      <c r="C14" s="5" t="n">
        <v>10</v>
      </c>
      <c r="D14" s="6" t="inlineStr">
        <is>
          <t>10 days</t>
        </is>
      </c>
      <c r="E14" s="4" t="inlineStr">
        <is>
          <t>Minda→Ivy</t>
        </is>
      </c>
      <c r="F14" s="7" t="inlineStr">
        <is>
          <t>once ever</t>
        </is>
      </c>
    </row>
    <row r="15">
      <c r="A15" s="4" t="inlineStr">
        <is>
          <t>SEO NEO</t>
        </is>
      </c>
      <c r="B15" s="4" t="inlineStr">
        <is>
          <t>DAS v2</t>
        </is>
      </c>
      <c r="C15" s="5" t="n">
        <v>20</v>
      </c>
      <c r="D15" s="6" t="inlineStr">
        <is>
          <t>3 weeks</t>
        </is>
      </c>
      <c r="E15" s="4" t="inlineStr">
        <is>
          <t>Minda→Ivy</t>
        </is>
      </c>
      <c r="F15" s="7" t="inlineStr"/>
    </row>
    <row r="16">
      <c r="A16" s="4" t="inlineStr">
        <is>
          <t>SEO NEO</t>
        </is>
      </c>
      <c r="B16" s="4" t="inlineStr">
        <is>
          <t>Respect Mah Authoritay v2</t>
        </is>
      </c>
      <c r="C16" s="5" t="n">
        <v>20</v>
      </c>
      <c r="D16" s="6" t="inlineStr">
        <is>
          <t>3 weeks</t>
        </is>
      </c>
      <c r="E16" s="4" t="inlineStr">
        <is>
          <t>Minda→Ivy</t>
        </is>
      </c>
      <c r="F16" s="7" t="inlineStr"/>
    </row>
    <row r="17">
      <c r="A17" s="4" t="inlineStr">
        <is>
          <t>SEO NEO</t>
        </is>
      </c>
      <c r="B17" s="4" t="inlineStr">
        <is>
          <t>Cloud Stack (Elias)</t>
        </is>
      </c>
      <c r="C17" s="5" t="n">
        <v>20</v>
      </c>
      <c r="D17" s="6" t="inlineStr">
        <is>
          <t>5 days</t>
        </is>
      </c>
      <c r="E17" s="4" t="inlineStr">
        <is>
          <t>Minda→Ivy</t>
        </is>
      </c>
      <c r="F17" s="7" t="inlineStr"/>
    </row>
    <row r="18">
      <c r="A18" s="4" t="inlineStr">
        <is>
          <t>SEO NEO</t>
        </is>
      </c>
      <c r="B18" s="4" t="inlineStr">
        <is>
          <t>Contextual To Text</t>
        </is>
      </c>
      <c r="C18" s="5" t="n">
        <v>20</v>
      </c>
      <c r="D18" s="6" t="inlineStr">
        <is>
          <t>3 weeks</t>
        </is>
      </c>
      <c r="E18" s="4" t="inlineStr">
        <is>
          <t>Minda→Ivy</t>
        </is>
      </c>
      <c r="F18" s="7" t="inlineStr"/>
    </row>
    <row r="19">
      <c r="A19" s="4" t="inlineStr">
        <is>
          <t>SEO NEO</t>
        </is>
      </c>
      <c r="B19" s="4" t="inlineStr">
        <is>
          <t>Contextual To Text Advanced</t>
        </is>
      </c>
      <c r="C19" s="5" t="n">
        <v>20</v>
      </c>
      <c r="D19" s="6" t="inlineStr">
        <is>
          <t>3 weeks</t>
        </is>
      </c>
      <c r="E19" s="4" t="inlineStr">
        <is>
          <t>Minda→Ivy</t>
        </is>
      </c>
      <c r="F19" s="7" t="inlineStr"/>
    </row>
    <row r="20">
      <c r="A20" s="4" t="inlineStr">
        <is>
          <t>SEO NEO</t>
        </is>
      </c>
      <c r="B20" s="4" t="inlineStr">
        <is>
          <t>RD100</t>
        </is>
      </c>
      <c r="C20" s="5" t="n">
        <v>20</v>
      </c>
      <c r="D20" s="6" t="inlineStr">
        <is>
          <t>3 weeks</t>
        </is>
      </c>
      <c r="E20" s="4" t="inlineStr">
        <is>
          <t>Minda→Ivy</t>
        </is>
      </c>
      <c r="F20" s="7" t="inlineStr"/>
    </row>
    <row r="21">
      <c r="A21" s="4" t="inlineStr">
        <is>
          <t>SEO NEO</t>
        </is>
      </c>
      <c r="B21" s="4" t="inlineStr">
        <is>
          <t>Hydra</t>
        </is>
      </c>
      <c r="C21" s="5" t="n">
        <v>20</v>
      </c>
      <c r="D21" s="6" t="inlineStr">
        <is>
          <t>45 days</t>
        </is>
      </c>
      <c r="E21" s="4" t="inlineStr">
        <is>
          <t>Minda→Ivy</t>
        </is>
      </c>
      <c r="F21" s="7" t="inlineStr">
        <is>
          <t>overclock gate</t>
        </is>
      </c>
    </row>
    <row r="22">
      <c r="A22" s="4" t="inlineStr">
        <is>
          <t>SEO NEO</t>
        </is>
      </c>
      <c r="B22" s="4" t="inlineStr">
        <is>
          <t>DAS v2 w/ RD100</t>
        </is>
      </c>
      <c r="C22" s="5" t="n">
        <v>20</v>
      </c>
      <c r="D22" s="6" t="inlineStr">
        <is>
          <t>45 days</t>
        </is>
      </c>
      <c r="E22" s="4" t="inlineStr">
        <is>
          <t>Minda→Ivy</t>
        </is>
      </c>
      <c r="F22" s="7" t="inlineStr">
        <is>
          <t>overclock gate</t>
        </is>
      </c>
    </row>
    <row r="23">
      <c r="A23" s="4" t="inlineStr">
        <is>
          <t>SEO NEO</t>
        </is>
      </c>
      <c r="B23" s="4" t="inlineStr">
        <is>
          <t>GBP Blast</t>
        </is>
      </c>
      <c r="C23" s="5" t="n">
        <v>20</v>
      </c>
      <c r="D23" s="6" t="inlineStr">
        <is>
          <t>7 days</t>
        </is>
      </c>
      <c r="E23" s="4" t="inlineStr">
        <is>
          <t>Minda→Ivy</t>
        </is>
      </c>
      <c r="F23" s="7" t="inlineStr">
        <is>
          <t>physical/hybrid only</t>
        </is>
      </c>
    </row>
    <row r="24">
      <c r="A24" s="4" t="inlineStr">
        <is>
          <t>SEO NEO</t>
        </is>
      </c>
      <c r="B24" s="4" t="inlineStr">
        <is>
          <t>Hyper Local GBP Blast</t>
        </is>
      </c>
      <c r="C24" s="5" t="n">
        <v>20</v>
      </c>
      <c r="D24" s="6" t="inlineStr">
        <is>
          <t>7 days</t>
        </is>
      </c>
      <c r="E24" s="4" t="inlineStr">
        <is>
          <t>Minda→Ivy</t>
        </is>
      </c>
      <c r="F24" s="7" t="inlineStr"/>
    </row>
    <row r="25">
      <c r="A25" s="4" t="inlineStr">
        <is>
          <t>SEO NEO</t>
        </is>
      </c>
      <c r="B25" s="4" t="inlineStr">
        <is>
          <t>GBP Sniper</t>
        </is>
      </c>
      <c r="C25" s="5" t="n">
        <v>20</v>
      </c>
      <c r="D25" s="6" t="inlineStr">
        <is>
          <t>7 days</t>
        </is>
      </c>
      <c r="E25" s="4" t="inlineStr">
        <is>
          <t>Minda→Ivy</t>
        </is>
      </c>
      <c r="F25" s="7" t="inlineStr"/>
    </row>
    <row r="26">
      <c r="A26" s="4" t="inlineStr">
        <is>
          <t>Maps</t>
        </is>
      </c>
      <c r="B26" s="4" t="inlineStr">
        <is>
          <t>Map Embeds</t>
        </is>
      </c>
      <c r="C26" s="5" t="n">
        <v>10</v>
      </c>
      <c r="D26" s="6" t="inlineStr">
        <is>
          <t>4 weeks</t>
        </is>
      </c>
      <c r="E26" s="4" t="inlineStr">
        <is>
          <t>Ivy</t>
        </is>
      </c>
      <c r="F26" s="7" t="inlineStr"/>
    </row>
    <row r="27">
      <c r="A27" s="4" t="inlineStr">
        <is>
          <t>Content</t>
        </is>
      </c>
      <c r="B27" s="4" t="inlineStr">
        <is>
          <t>Content page (blog/service/any)</t>
        </is>
      </c>
      <c r="C27" s="5" t="n">
        <v>10</v>
      </c>
      <c r="D27" s="6" t="inlineStr">
        <is>
          <t>5 days</t>
        </is>
      </c>
      <c r="E27" s="4" t="inlineStr">
        <is>
          <t>Minda/Ivy</t>
        </is>
      </c>
      <c r="F27" s="7" t="inlineStr"/>
    </row>
    <row r="28">
      <c r="A28" s="4" t="inlineStr">
        <is>
          <t>Content</t>
        </is>
      </c>
      <c r="B28" s="4" t="inlineStr">
        <is>
          <t>GBP post (each)</t>
        </is>
      </c>
      <c r="C28" s="5" t="n">
        <v>5</v>
      </c>
      <c r="D28" s="6" t="inlineStr">
        <is>
          <t>—</t>
        </is>
      </c>
      <c r="E28" s="4" t="inlineStr">
        <is>
          <t>Minda</t>
        </is>
      </c>
      <c r="F28" s="7" t="inlineStr">
        <is>
          <t>part of weekly batch</t>
        </is>
      </c>
    </row>
    <row r="29">
      <c r="A29" s="4" t="inlineStr">
        <is>
          <t>GBP</t>
        </is>
      </c>
      <c r="B29" s="4" t="inlineStr">
        <is>
          <t>Initial GBP optimization</t>
        </is>
      </c>
      <c r="C29" s="5" t="n">
        <v>60</v>
      </c>
      <c r="D29" s="6" t="inlineStr">
        <is>
          <t>2 weeks</t>
        </is>
      </c>
      <c r="E29" s="4" t="inlineStr">
        <is>
          <t>Ivy</t>
        </is>
      </c>
      <c r="F29" s="7" t="inlineStr"/>
    </row>
    <row r="30">
      <c r="A30" s="4" t="inlineStr">
        <is>
          <t>GBP</t>
        </is>
      </c>
      <c r="B30" s="4" t="inlineStr">
        <is>
          <t>Ongoing GBP posting (weekly batch)</t>
        </is>
      </c>
      <c r="C30" s="5" t="n">
        <v>20</v>
      </c>
      <c r="D30" s="6" t="inlineStr">
        <is>
          <t>7 days</t>
        </is>
      </c>
      <c r="E30" s="4" t="inlineStr">
        <is>
          <t>Minda</t>
        </is>
      </c>
      <c r="F30" s="7" t="inlineStr">
        <is>
          <t>5 posts/wk</t>
        </is>
      </c>
    </row>
    <row r="31">
      <c r="A31" s="4" t="inlineStr">
        <is>
          <t>GBP</t>
        </is>
      </c>
      <c r="B31" s="4" t="inlineStr">
        <is>
          <t>Agency Assassin setup/tuning (weekly)</t>
        </is>
      </c>
      <c r="C31" s="5" t="n">
        <v>20</v>
      </c>
      <c r="D31" s="6" t="inlineStr">
        <is>
          <t>weekly</t>
        </is>
      </c>
      <c r="E31" s="4" t="inlineStr">
        <is>
          <t>Kyle</t>
        </is>
      </c>
      <c r="F31" s="7" t="inlineStr">
        <is>
          <t>≥$1,200 clients</t>
        </is>
      </c>
    </row>
    <row r="32">
      <c r="A32" s="4" t="inlineStr">
        <is>
          <t>Web dev</t>
        </is>
      </c>
      <c r="B32" s="4" t="inlineStr">
        <is>
          <t>Schema implementation (per page)</t>
        </is>
      </c>
      <c r="C32" s="5" t="n">
        <v>15</v>
      </c>
      <c r="D32" s="6" t="inlineStr">
        <is>
          <t>5 days</t>
        </is>
      </c>
      <c r="E32" s="4" t="inlineStr">
        <is>
          <t>Ryan</t>
        </is>
      </c>
      <c r="F32" s="7" t="inlineStr"/>
    </row>
    <row r="33">
      <c r="A33" s="4" t="inlineStr">
        <is>
          <t>Web dev</t>
        </is>
      </c>
      <c r="B33" s="4" t="inlineStr">
        <is>
          <t>Site build</t>
        </is>
      </c>
      <c r="C33" s="5" t="inlineStr">
        <is>
          <t>varies</t>
        </is>
      </c>
      <c r="D33" s="6" t="inlineStr">
        <is>
          <t>varies</t>
        </is>
      </c>
      <c r="E33" s="4" t="inlineStr">
        <is>
          <t>Ryan</t>
        </is>
      </c>
      <c r="F33" s="7" t="inlineStr">
        <is>
          <t>scope per project</t>
        </is>
      </c>
    </row>
    <row r="34">
      <c r="A34" s="4" t="inlineStr">
        <is>
          <t>Overhead</t>
        </is>
      </c>
      <c r="B34" s="4" t="inlineStr">
        <is>
          <t>Client meeting (monthly)</t>
        </is>
      </c>
      <c r="C34" s="5" t="n">
        <v>60</v>
      </c>
      <c r="D34" s="6" t="inlineStr">
        <is>
          <t>monthly</t>
        </is>
      </c>
      <c r="E34" s="4" t="inlineStr">
        <is>
          <t>Minda</t>
        </is>
      </c>
      <c r="F34" s="7" t="inlineStr"/>
    </row>
    <row r="35">
      <c r="A35" s="4" t="inlineStr">
        <is>
          <t>Overhead</t>
        </is>
      </c>
      <c r="B35" s="4" t="inlineStr">
        <is>
          <t>Asana board management (monthly)</t>
        </is>
      </c>
      <c r="C35" s="5" t="n">
        <v>30</v>
      </c>
      <c r="D35" s="6" t="inlineStr">
        <is>
          <t>monthly</t>
        </is>
      </c>
      <c r="E35" s="4" t="inlineStr">
        <is>
          <t>Minda</t>
        </is>
      </c>
      <c r="F35" s="7" t="inlineStr"/>
    </row>
    <row r="36">
      <c r="A36" s="4" t="inlineStr">
        <is>
          <t>Overhead</t>
        </is>
      </c>
      <c r="B36" s="4" t="inlineStr">
        <is>
          <t>Monthly reporting (per client)</t>
        </is>
      </c>
      <c r="C36" s="5" t="n">
        <v>60</v>
      </c>
      <c r="D36" s="6" t="inlineStr">
        <is>
          <t>monthly</t>
        </is>
      </c>
      <c r="E36" s="4" t="inlineStr">
        <is>
          <t>—</t>
        </is>
      </c>
      <c r="F36" s="7" t="inlineStr">
        <is>
          <t>1 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Team Capacity</t>
        </is>
      </c>
    </row>
    <row r="2">
      <c r="A2" s="2" t="inlineStr">
        <is>
          <t>Blue = editable. Utilization target leaves buffer for meetings/context-switching.</t>
        </is>
      </c>
    </row>
    <row r="3"/>
    <row r="4">
      <c r="A4" s="3" t="inlineStr">
        <is>
          <t>Person</t>
        </is>
      </c>
      <c r="B4" s="3" t="inlineStr">
        <is>
          <t>Hours/week</t>
        </is>
      </c>
      <c r="C4" s="3" t="inlineStr">
        <is>
          <t>Utilization %</t>
        </is>
      </c>
      <c r="D4" s="3" t="inlineStr">
        <is>
          <t>Billable hrs/week</t>
        </is>
      </c>
      <c r="E4" s="3" t="inlineStr">
        <is>
          <t>Billable min/week</t>
        </is>
      </c>
      <c r="F4" s="3" t="inlineStr">
        <is>
          <t>Billable min/month</t>
        </is>
      </c>
    </row>
    <row r="5">
      <c r="A5" s="4" t="inlineStr">
        <is>
          <t>Kyle</t>
        </is>
      </c>
      <c r="B5" s="5" t="n">
        <v>40</v>
      </c>
      <c r="C5" s="8" t="n">
        <v>0.85</v>
      </c>
      <c r="D5" s="13">
        <f>B5*C5</f>
        <v/>
      </c>
      <c r="E5" s="14">
        <f>D5*60</f>
        <v/>
      </c>
      <c r="F5" s="14">
        <f>E5*52/12</f>
        <v/>
      </c>
    </row>
    <row r="6">
      <c r="A6" s="4" t="inlineStr">
        <is>
          <t>Ryan</t>
        </is>
      </c>
      <c r="B6" s="5" t="n">
        <v>40</v>
      </c>
      <c r="C6" s="8" t="n">
        <v>0.85</v>
      </c>
      <c r="D6" s="13">
        <f>B6*C6</f>
        <v/>
      </c>
      <c r="E6" s="14">
        <f>D6*60</f>
        <v/>
      </c>
      <c r="F6" s="14">
        <f>E6*52/12</f>
        <v/>
      </c>
    </row>
    <row r="7">
      <c r="A7" s="4" t="inlineStr">
        <is>
          <t>Minda</t>
        </is>
      </c>
      <c r="B7" s="5" t="n">
        <v>40</v>
      </c>
      <c r="C7" s="8" t="n">
        <v>0.85</v>
      </c>
      <c r="D7" s="13">
        <f>B7*C7</f>
        <v/>
      </c>
      <c r="E7" s="14">
        <f>D7*60</f>
        <v/>
      </c>
      <c r="F7" s="14">
        <f>E7*52/12</f>
        <v/>
      </c>
    </row>
    <row r="8">
      <c r="A8" s="4" t="inlineStr">
        <is>
          <t>Ivy</t>
        </is>
      </c>
      <c r="B8" s="5" t="n">
        <v>20</v>
      </c>
      <c r="C8" s="8" t="n">
        <v>0.85</v>
      </c>
      <c r="D8" s="13">
        <f>B8*C8</f>
        <v/>
      </c>
      <c r="E8" s="14">
        <f>D8*60</f>
        <v/>
      </c>
      <c r="F8" s="14">
        <f>E8*52/12</f>
        <v/>
      </c>
    </row>
    <row r="9"/>
    <row r="10"/>
    <row r="11"/>
    <row r="12"/>
    <row r="1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14" customWidth="1" min="4" max="4"/>
    <col width="18" customWidth="1" min="5" max="5"/>
  </cols>
  <sheetData>
    <row r="1">
      <c r="A1" s="1" t="inlineStr">
        <is>
          <t>Monthly Allocation — planned task load vs. capacity</t>
        </is>
      </c>
    </row>
    <row r="2">
      <c r="A2" s="2" t="inlineStr">
        <is>
          <t>Enter planned monthly quantity per person (blue). Minutes pull from Task Catalog build times. Over-capacity flags red.</t>
        </is>
      </c>
    </row>
    <row r="3"/>
    <row r="4">
      <c r="A4" s="3" t="inlineStr">
        <is>
          <t>Person</t>
        </is>
      </c>
      <c r="B4" s="3" t="inlineStr">
        <is>
          <t>Planned min/month (enter or link)</t>
        </is>
      </c>
      <c r="C4" s="3" t="inlineStr">
        <is>
          <t>Capacity min/month</t>
        </is>
      </c>
      <c r="D4" s="3" t="inlineStr">
        <is>
          <t>Utilization</t>
        </is>
      </c>
      <c r="E4" s="3" t="inlineStr">
        <is>
          <t>Status</t>
        </is>
      </c>
    </row>
    <row r="5">
      <c r="A5" s="4" t="inlineStr">
        <is>
          <t>Kyle</t>
        </is>
      </c>
      <c r="B5" s="5" t="n">
        <v>0</v>
      </c>
      <c r="C5" s="15">
        <f>'Team Capacity'!F5</f>
        <v/>
      </c>
      <c r="D5" s="11">
        <f>IF(C5=0,"",B5/C5)</f>
        <v/>
      </c>
      <c r="E5" s="4">
        <f>IF(C5=0,"",IF(D5&gt;1,"OVER",IF(D5&gt;0.9,"TIGHT","OK")))</f>
        <v/>
      </c>
    </row>
    <row r="6">
      <c r="A6" s="4" t="inlineStr">
        <is>
          <t>Ryan</t>
        </is>
      </c>
      <c r="B6" s="5" t="n">
        <v>0</v>
      </c>
      <c r="C6" s="15">
        <f>'Team Capacity'!F6</f>
        <v/>
      </c>
      <c r="D6" s="11">
        <f>IF(C6=0,"",B6/C6)</f>
        <v/>
      </c>
      <c r="E6" s="4">
        <f>IF(C6=0,"",IF(D6&gt;1,"OVER",IF(D6&gt;0.9,"TIGHT","OK")))</f>
        <v/>
      </c>
    </row>
    <row r="7">
      <c r="A7" s="4" t="inlineStr">
        <is>
          <t>Minda</t>
        </is>
      </c>
      <c r="B7" s="5" t="n">
        <v>0</v>
      </c>
      <c r="C7" s="15">
        <f>'Team Capacity'!F7</f>
        <v/>
      </c>
      <c r="D7" s="11">
        <f>IF(C7=0,"",B7/C7)</f>
        <v/>
      </c>
      <c r="E7" s="4">
        <f>IF(C7=0,"",IF(D7&gt;1,"OVER",IF(D7&gt;0.9,"TIGHT","OK")))</f>
        <v/>
      </c>
    </row>
    <row r="8">
      <c r="A8" s="4" t="inlineStr">
        <is>
          <t>Ivy</t>
        </is>
      </c>
      <c r="B8" s="5" t="n">
        <v>0</v>
      </c>
      <c r="C8" s="15">
        <f>'Team Capacity'!F8</f>
        <v/>
      </c>
      <c r="D8" s="11">
        <f>IF(C8=0,"",B8/C8)</f>
        <v/>
      </c>
      <c r="E8" s="4">
        <f>IF(C8=0,"",IF(D8&gt;1,"OVER",IF(D8&gt;0.9,"TIGHT","OK")))</f>
        <v/>
      </c>
    </row>
    <row r="11">
      <c r="A11" s="12" t="inlineStr">
        <is>
          <t>Note: "Planned min/month" can be typed directly, or built as a formula summing (Task Catalog build time × planned quantity) per person once you lay out a per-client task plan. Left as a direct input for flexibility.</t>
        </is>
      </c>
    </row>
    <row r="12"/>
    <row r="13"/>
  </sheetData>
  <mergeCells count="1">
    <mergeCell ref="A11:E13"/>
  </mergeCells>
  <conditionalFormatting sqref="E5:E8">
    <cfRule type="cellIs" priority="1" operator="equal" dxfId="0">
      <formula>"OVER CAPACITY"</formula>
    </cfRule>
    <cfRule type="cellIs" priority="2" operator="equal" dxfId="1">
      <formula>"NEAR LIMIT"</formula>
    </cfRule>
    <cfRule type="cellIs" priority="3" operator="equal" dxfId="2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2026-07-03T09:11:54Z</dcterms:created>
  <dcterms:modified xsi:type="dcterms:W3CDTF">2026-07-04T06:11:50Z</dcterms:modified>
</cp:coreProperties>
</file>